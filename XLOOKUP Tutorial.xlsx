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LookUp" sheetId="1" r:id="rId5"/>
    <sheet state="visible" name="XLookUp Multiple Rows" sheetId="2" r:id="rId6"/>
    <sheet state="visible" name="XLookUp Exact Match" sheetId="3" r:id="rId7"/>
    <sheet state="visible" name="XLookUp Search Order" sheetId="4" r:id="rId8"/>
    <sheet state="visible" name="XLookUp Horizontal" sheetId="5" r:id="rId9"/>
    <sheet state="visible" name="XLookUp w SUM" sheetId="6" r:id="rId10"/>
    <sheet state="visible" name="VLookUp" sheetId="7" r:id="rId11"/>
  </sheets>
  <definedNames/>
  <calcPr/>
</workbook>
</file>

<file path=xl/sharedStrings.xml><?xml version="1.0" encoding="utf-8"?>
<sst xmlns="http://schemas.openxmlformats.org/spreadsheetml/2006/main" count="489" uniqueCount="92">
  <si>
    <t>EmployeeID</t>
  </si>
  <si>
    <t>FirstName</t>
  </si>
  <si>
    <t>LastName</t>
  </si>
  <si>
    <t>Full Name</t>
  </si>
  <si>
    <t>Age</t>
  </si>
  <si>
    <t>Address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</si>
  <si>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</si>
  <si>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</si>
  <si>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</si>
  <si>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</si>
  <si>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</si>
  <si>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</si>
  <si>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</si>
  <si>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</si>
  <si>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Jim Halpert</t>
  </si>
  <si>
    <t>Male</t>
  </si>
  <si>
    <t>Salesman</t>
  </si>
  <si>
    <t>11/2/2001</t>
  </si>
  <si>
    <t>9/6/2015</t>
  </si>
  <si>
    <t>Jim.Halpert@DunderMifflin.com</t>
  </si>
  <si>
    <t>Toby Flenderson</t>
  </si>
  <si>
    <t>Pam</t>
  </si>
  <si>
    <t>Beasley</t>
  </si>
  <si>
    <t>Pam 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</si>
  <si>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</si>
  <si>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</si>
  <si>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</si>
  <si>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</si>
  <si>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</si>
  <si>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</si>
  <si>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</si>
  <si>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Dwight Schrute</t>
  </si>
  <si>
    <t>7/4/2000</t>
  </si>
  <si>
    <t>9/8/2017</t>
  </si>
  <si>
    <t>Dwight.Schrute@AOL.com</t>
  </si>
  <si>
    <t>Meredith Palmer</t>
  </si>
  <si>
    <t>Angela</t>
  </si>
  <si>
    <t>Martin</t>
  </si>
  <si>
    <t>Angela Martin</t>
  </si>
  <si>
    <t>Accountant</t>
  </si>
  <si>
    <t>1/5/2000</t>
  </si>
  <si>
    <t>12/3/2015</t>
  </si>
  <si>
    <t>Angela.Martin@DunderMifflin.com</t>
  </si>
  <si>
    <t>Kevin Malone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</si>
  <si>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</si>
  <si>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</si>
  <si>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</si>
  <si>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</si>
  <si>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</si>
  <si>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</si>
  <si>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</si>
  <si>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</si>
  <si>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Michael 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</si>
  <si>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</si>
  <si>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</si>
  <si>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</si>
  <si>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</si>
  <si>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</si>
  <si>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</si>
  <si>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</si>
  <si>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</si>
  <si>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</si>
  <si>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</si>
  <si>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Stanley 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</si>
  <si>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</si>
  <si>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</si>
  <si>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</si>
  <si>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</si>
  <si>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</si>
  <si>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</si>
  <si>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</si>
  <si>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Toby Flender</t>
  </si>
  <si>
    <t>Kevin Malo</t>
  </si>
  <si>
    <t>Start Date</t>
  </si>
  <si>
    <t>Person</t>
  </si>
  <si>
    <t>1/1/2000</t>
  </si>
  <si>
    <t xml:space="preserve">February </t>
  </si>
  <si>
    <t>January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</si>
  <si>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</si>
  <si>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</si>
  <si>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</si>
  <si>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</si>
  <si>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</si>
  <si>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</si>
  <si>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</si>
  <si>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</si>
  <si>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</si>
  <si>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</si>
  <si>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</si>
  <si>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</si>
  <si>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</si>
  <si>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February-March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</si>
</sst>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Font="1" applyNumberFormat="1"/>
    <xf borderId="0" fillId="0" fontId="2" numFmtId="14" xfId="0" applyFont="1" applyNumberFormat="1"/>
    <xf borderId="0" fillId="0" fontId="1" numFmtId="14" xfId="0" applyFont="1" applyNumberFormat="1"/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57"/>
    <col customWidth="1" min="3" max="7" width="8.71"/>
    <col customWidth="1" min="8" max="8" width="14.71"/>
    <col customWidth="1" min="9" max="11" width="8.71"/>
    <col customWidth="1" min="12" max="12" width="15.71"/>
    <col customWidth="1" min="13" max="15" width="8.71"/>
    <col customWidth="1" min="16" max="16" width="40.71"/>
    <col customWidth="1" min="17" max="26" width="8.71"/>
  </cols>
  <sheetData>
    <row r="1" ht="14.25" customHeight="1"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</row>
    <row r="2" ht="14.25" customHeight="1">
      <c r="A2" s="1" t="s">
        <v>3</v>
      </c>
      <c r="B2" s="1" t="s">
        <v>11</v>
      </c>
      <c r="E2" s="1">
        <v>1001.0</v>
      </c>
      <c r="F2" s="1" t="s">
        <v>12</v>
      </c>
      <c r="G2" s="1" t="s">
        <v>13</v>
      </c>
      <c r="H2" s="1" t="s">
        <v>14</v>
      </c>
      <c r="I2" s="1">
        <v>30.0</v>
      </c>
      <c r="K2" s="1" t="s">
        <v>15</v>
      </c>
      <c r="L2" s="1" t="s">
        <v>16</v>
      </c>
      <c r="M2" s="1">
        <v>45000.0</v>
      </c>
      <c r="N2" s="2" t="s">
        <v>17</v>
      </c>
      <c r="O2" s="2" t="s">
        <v>18</v>
      </c>
      <c r="P2" s="3" t="s">
        <v>19</v>
      </c>
    </row>
    <row r="3" ht="14.25" customHeight="1">
      <c r="A3" s="1" t="s">
        <v>20</v>
      </c>
      <c r="B3" s="4" t="str">
        <f t="shared" ref="B3:B6" si="1">XLOOKUP(A3,H2:H10,P2:P10)</f>
        <v>Toby.Flenderson@DunderMifflinCorporate.com</v>
      </c>
      <c r="E3" s="1">
        <v>1002.0</v>
      </c>
      <c r="F3" s="1" t="s">
        <v>21</v>
      </c>
      <c r="G3" s="1" t="s">
        <v>22</v>
      </c>
      <c r="H3" s="1" t="s">
        <v>23</v>
      </c>
      <c r="I3" s="1">
        <v>30.0</v>
      </c>
      <c r="K3" s="1" t="s">
        <v>24</v>
      </c>
      <c r="L3" s="1" t="s">
        <v>25</v>
      </c>
      <c r="M3" s="1">
        <v>36000.0</v>
      </c>
      <c r="N3" s="2" t="s">
        <v>26</v>
      </c>
      <c r="O3" s="2" t="s">
        <v>27</v>
      </c>
      <c r="P3" s="3" t="s">
        <v>28</v>
      </c>
    </row>
    <row r="4" ht="14.25" customHeight="1">
      <c r="A4" s="1" t="s">
        <v>23</v>
      </c>
      <c r="B4" s="4" t="str">
        <f t="shared" si="1"/>
        <v>Pam.Beasley@DunderMifflin.com</v>
      </c>
      <c r="E4" s="1">
        <v>1003.0</v>
      </c>
      <c r="F4" s="1" t="s">
        <v>29</v>
      </c>
      <c r="G4" s="1" t="s">
        <v>30</v>
      </c>
      <c r="H4" s="1" t="s">
        <v>31</v>
      </c>
      <c r="I4" s="1">
        <v>29.0</v>
      </c>
      <c r="K4" s="1" t="s">
        <v>15</v>
      </c>
      <c r="L4" s="1" t="s">
        <v>16</v>
      </c>
      <c r="M4" s="1">
        <v>63000.0</v>
      </c>
      <c r="N4" s="2" t="s">
        <v>32</v>
      </c>
      <c r="O4" s="2" t="s">
        <v>33</v>
      </c>
      <c r="P4" s="3" t="s">
        <v>34</v>
      </c>
    </row>
    <row r="5" ht="14.25" customHeight="1">
      <c r="A5" s="1" t="s">
        <v>35</v>
      </c>
      <c r="B5" s="4" t="str">
        <f t="shared" si="1"/>
        <v>Meredith.Palmer@Yahoo.com</v>
      </c>
      <c r="E5" s="1">
        <v>1004.0</v>
      </c>
      <c r="F5" s="1" t="s">
        <v>36</v>
      </c>
      <c r="G5" s="1" t="s">
        <v>37</v>
      </c>
      <c r="H5" s="1" t="s">
        <v>38</v>
      </c>
      <c r="I5" s="1">
        <v>31.0</v>
      </c>
      <c r="K5" s="1" t="s">
        <v>24</v>
      </c>
      <c r="L5" s="1" t="s">
        <v>39</v>
      </c>
      <c r="M5" s="1">
        <v>47000.0</v>
      </c>
      <c r="N5" s="2" t="s">
        <v>40</v>
      </c>
      <c r="O5" s="2" t="s">
        <v>41</v>
      </c>
      <c r="P5" s="3" t="s">
        <v>42</v>
      </c>
    </row>
    <row r="6" ht="14.25" customHeight="1">
      <c r="A6" s="1" t="s">
        <v>43</v>
      </c>
      <c r="B6" s="4" t="str">
        <f t="shared" si="1"/>
        <v>Kevin.Malone@DunderMifflin.com</v>
      </c>
      <c r="E6" s="1">
        <v>1005.0</v>
      </c>
      <c r="F6" s="1" t="s">
        <v>44</v>
      </c>
      <c r="G6" s="1" t="s">
        <v>45</v>
      </c>
      <c r="H6" s="1" t="s">
        <v>20</v>
      </c>
      <c r="I6" s="1">
        <v>32.0</v>
      </c>
      <c r="K6" s="1" t="s">
        <v>15</v>
      </c>
      <c r="L6" s="1" t="s">
        <v>46</v>
      </c>
      <c r="M6" s="1">
        <v>50000.0</v>
      </c>
      <c r="N6" s="2" t="s">
        <v>47</v>
      </c>
      <c r="O6" s="2" t="s">
        <v>48</v>
      </c>
      <c r="P6" s="3" t="s">
        <v>49</v>
      </c>
    </row>
    <row r="7" ht="14.25" customHeight="1">
      <c r="E7" s="1">
        <v>1006.0</v>
      </c>
      <c r="F7" s="1" t="s">
        <v>50</v>
      </c>
      <c r="G7" s="1" t="s">
        <v>51</v>
      </c>
      <c r="H7" s="1" t="s">
        <v>52</v>
      </c>
      <c r="I7" s="1">
        <v>35.0</v>
      </c>
      <c r="K7" s="1" t="s">
        <v>15</v>
      </c>
      <c r="L7" s="1" t="s">
        <v>53</v>
      </c>
      <c r="M7" s="1">
        <v>65000.0</v>
      </c>
      <c r="N7" s="2" t="s">
        <v>47</v>
      </c>
      <c r="O7" s="2" t="s">
        <v>54</v>
      </c>
      <c r="P7" s="3" t="s">
        <v>55</v>
      </c>
    </row>
    <row r="8" ht="14.25" customHeight="1">
      <c r="E8" s="1">
        <v>1007.0</v>
      </c>
      <c r="F8" s="1" t="s">
        <v>56</v>
      </c>
      <c r="G8" s="1" t="s">
        <v>57</v>
      </c>
      <c r="H8" s="1" t="s">
        <v>35</v>
      </c>
      <c r="I8" s="1">
        <v>32.0</v>
      </c>
      <c r="K8" s="1" t="s">
        <v>24</v>
      </c>
      <c r="L8" s="1" t="s">
        <v>58</v>
      </c>
      <c r="M8" s="1">
        <v>41000.0</v>
      </c>
      <c r="N8" s="2" t="s">
        <v>59</v>
      </c>
      <c r="O8" s="2" t="s">
        <v>54</v>
      </c>
      <c r="P8" s="3" t="s">
        <v>60</v>
      </c>
    </row>
    <row r="9" ht="14.25" customHeight="1">
      <c r="E9" s="1">
        <v>1008.0</v>
      </c>
      <c r="F9" s="1" t="s">
        <v>61</v>
      </c>
      <c r="G9" s="1" t="s">
        <v>62</v>
      </c>
      <c r="H9" s="1" t="s">
        <v>63</v>
      </c>
      <c r="I9" s="1">
        <v>38.0</v>
      </c>
      <c r="K9" s="1" t="s">
        <v>15</v>
      </c>
      <c r="L9" s="1" t="s">
        <v>16</v>
      </c>
      <c r="M9" s="1">
        <v>48000.0</v>
      </c>
      <c r="N9" s="2" t="s">
        <v>64</v>
      </c>
      <c r="O9" s="2" t="s">
        <v>65</v>
      </c>
      <c r="P9" s="3" t="s">
        <v>66</v>
      </c>
    </row>
    <row r="10" ht="14.25" customHeight="1">
      <c r="E10" s="1">
        <v>1009.0</v>
      </c>
      <c r="F10" s="1" t="s">
        <v>67</v>
      </c>
      <c r="G10" s="1" t="s">
        <v>68</v>
      </c>
      <c r="H10" s="1" t="s">
        <v>43</v>
      </c>
      <c r="I10" s="1">
        <v>31.0</v>
      </c>
      <c r="K10" s="1" t="s">
        <v>15</v>
      </c>
      <c r="L10" s="1" t="s">
        <v>39</v>
      </c>
      <c r="M10" s="1">
        <v>42000.0</v>
      </c>
      <c r="N10" s="2" t="s">
        <v>69</v>
      </c>
      <c r="O10" s="2" t="s">
        <v>65</v>
      </c>
      <c r="P10" s="3" t="s">
        <v>70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>
      <c r="H22" s="1" t="str">
        <f t="shared" ref="H22:H23" si="2">CONCATENATE(F12," ",G12)</f>
        <v> </v>
      </c>
    </row>
    <row r="23" ht="14.25" customHeight="1">
      <c r="H23" s="1" t="str">
        <f t="shared" si="2"/>
        <v> 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8.71"/>
    <col customWidth="1" min="3" max="3" width="24.57"/>
    <col customWidth="1" min="4" max="8" width="8.71"/>
    <col customWidth="1" min="9" max="9" width="14.71"/>
    <col customWidth="1" min="10" max="11" width="8.71"/>
    <col customWidth="1" min="12" max="12" width="15.71"/>
    <col customWidth="1" min="13" max="15" width="8.71"/>
    <col customWidth="1" min="16" max="16" width="40.71"/>
    <col customWidth="1" min="17" max="26" width="8.71"/>
  </cols>
  <sheetData>
    <row r="1" ht="14.25" customHeight="1"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</row>
    <row r="2" ht="14.25" customHeight="1">
      <c r="A2" s="1" t="s">
        <v>3</v>
      </c>
      <c r="B2" s="1" t="s">
        <v>10</v>
      </c>
      <c r="C2" s="1" t="s">
        <v>11</v>
      </c>
      <c r="F2" s="1">
        <v>1001.0</v>
      </c>
      <c r="G2" s="1" t="s">
        <v>12</v>
      </c>
      <c r="H2" s="1" t="s">
        <v>13</v>
      </c>
      <c r="I2" s="1" t="s">
        <v>14</v>
      </c>
      <c r="J2" s="1">
        <v>30.0</v>
      </c>
      <c r="K2" s="1" t="s">
        <v>15</v>
      </c>
      <c r="L2" s="1" t="s">
        <v>16</v>
      </c>
      <c r="M2" s="1">
        <v>45000.0</v>
      </c>
      <c r="N2" s="2" t="s">
        <v>17</v>
      </c>
      <c r="O2" s="2" t="s">
        <v>18</v>
      </c>
      <c r="P2" s="3" t="s">
        <v>19</v>
      </c>
    </row>
    <row r="3" ht="14.25" customHeight="1">
      <c r="A3" s="1" t="s">
        <v>20</v>
      </c>
      <c r="B3" s="5" t="str">
        <f t="shared" ref="B3:B6" si="1">XLOOKUP(A3,I2:I10,O2:P10)</f>
        <v>8/30/2017</v>
      </c>
      <c r="C3" s="4" t="s">
        <v>49</v>
      </c>
      <c r="F3" s="1">
        <v>1002.0</v>
      </c>
      <c r="G3" s="1" t="s">
        <v>21</v>
      </c>
      <c r="H3" s="1" t="s">
        <v>22</v>
      </c>
      <c r="I3" s="1" t="s">
        <v>23</v>
      </c>
      <c r="J3" s="1">
        <v>30.0</v>
      </c>
      <c r="K3" s="1" t="s">
        <v>24</v>
      </c>
      <c r="L3" s="1" t="s">
        <v>25</v>
      </c>
      <c r="M3" s="1">
        <v>36000.0</v>
      </c>
      <c r="N3" s="2" t="s">
        <v>26</v>
      </c>
      <c r="O3" s="2" t="s">
        <v>27</v>
      </c>
      <c r="P3" s="3" t="s">
        <v>28</v>
      </c>
    </row>
    <row r="4" ht="14.25" customHeight="1">
      <c r="A4" s="1" t="s">
        <v>23</v>
      </c>
      <c r="B4" s="5" t="str">
        <f t="shared" si="1"/>
        <v>10/10/2015</v>
      </c>
      <c r="C4" s="4" t="s">
        <v>28</v>
      </c>
      <c r="F4" s="1">
        <v>1003.0</v>
      </c>
      <c r="G4" s="1" t="s">
        <v>29</v>
      </c>
      <c r="H4" s="1" t="s">
        <v>30</v>
      </c>
      <c r="I4" s="1" t="s">
        <v>31</v>
      </c>
      <c r="J4" s="1">
        <v>29.0</v>
      </c>
      <c r="K4" s="1" t="s">
        <v>15</v>
      </c>
      <c r="L4" s="1" t="s">
        <v>16</v>
      </c>
      <c r="M4" s="1">
        <v>63000.0</v>
      </c>
      <c r="N4" s="2" t="s">
        <v>32</v>
      </c>
      <c r="O4" s="2" t="s">
        <v>33</v>
      </c>
      <c r="P4" s="3" t="s">
        <v>34</v>
      </c>
    </row>
    <row r="5" ht="14.25" customHeight="1">
      <c r="A5" s="1" t="s">
        <v>35</v>
      </c>
      <c r="B5" s="5" t="str">
        <f t="shared" si="1"/>
        <v>9/11/2013</v>
      </c>
      <c r="C5" s="4" t="s">
        <v>60</v>
      </c>
      <c r="F5" s="1">
        <v>1004.0</v>
      </c>
      <c r="G5" s="1" t="s">
        <v>36</v>
      </c>
      <c r="H5" s="1" t="s">
        <v>37</v>
      </c>
      <c r="I5" s="1" t="s">
        <v>38</v>
      </c>
      <c r="J5" s="1">
        <v>31.0</v>
      </c>
      <c r="K5" s="1" t="s">
        <v>24</v>
      </c>
      <c r="L5" s="1" t="s">
        <v>39</v>
      </c>
      <c r="M5" s="1">
        <v>47000.0</v>
      </c>
      <c r="N5" s="2" t="s">
        <v>40</v>
      </c>
      <c r="O5" s="2" t="s">
        <v>41</v>
      </c>
      <c r="P5" s="3" t="s">
        <v>42</v>
      </c>
    </row>
    <row r="6" ht="14.25" customHeight="1">
      <c r="A6" s="1" t="s">
        <v>43</v>
      </c>
      <c r="B6" s="5" t="str">
        <f t="shared" si="1"/>
        <v>4/22/2015</v>
      </c>
      <c r="C6" s="4" t="s">
        <v>70</v>
      </c>
      <c r="F6" s="1">
        <v>1005.0</v>
      </c>
      <c r="G6" s="1" t="s">
        <v>44</v>
      </c>
      <c r="H6" s="1" t="s">
        <v>45</v>
      </c>
      <c r="I6" s="1" t="s">
        <v>20</v>
      </c>
      <c r="J6" s="1">
        <v>32.0</v>
      </c>
      <c r="K6" s="1" t="s">
        <v>15</v>
      </c>
      <c r="L6" s="1" t="s">
        <v>46</v>
      </c>
      <c r="M6" s="1">
        <v>50000.0</v>
      </c>
      <c r="N6" s="2" t="s">
        <v>47</v>
      </c>
      <c r="O6" s="2" t="s">
        <v>48</v>
      </c>
      <c r="P6" s="3" t="s">
        <v>49</v>
      </c>
    </row>
    <row r="7" ht="14.25" customHeight="1">
      <c r="F7" s="1">
        <v>1006.0</v>
      </c>
      <c r="G7" s="1" t="s">
        <v>50</v>
      </c>
      <c r="H7" s="1" t="s">
        <v>51</v>
      </c>
      <c r="I7" s="1" t="s">
        <v>52</v>
      </c>
      <c r="J7" s="1">
        <v>35.0</v>
      </c>
      <c r="K7" s="1" t="s">
        <v>15</v>
      </c>
      <c r="L7" s="1" t="s">
        <v>53</v>
      </c>
      <c r="M7" s="1">
        <v>65000.0</v>
      </c>
      <c r="N7" s="2" t="s">
        <v>47</v>
      </c>
      <c r="O7" s="2" t="s">
        <v>54</v>
      </c>
      <c r="P7" s="3" t="s">
        <v>55</v>
      </c>
    </row>
    <row r="8" ht="14.25" customHeight="1">
      <c r="F8" s="1">
        <v>1007.0</v>
      </c>
      <c r="G8" s="1" t="s">
        <v>56</v>
      </c>
      <c r="H8" s="1" t="s">
        <v>57</v>
      </c>
      <c r="I8" s="1" t="s">
        <v>35</v>
      </c>
      <c r="J8" s="1">
        <v>32.0</v>
      </c>
      <c r="K8" s="1" t="s">
        <v>24</v>
      </c>
      <c r="L8" s="1" t="s">
        <v>58</v>
      </c>
      <c r="M8" s="1">
        <v>41000.0</v>
      </c>
      <c r="N8" s="2" t="s">
        <v>59</v>
      </c>
      <c r="O8" s="2" t="s">
        <v>54</v>
      </c>
      <c r="P8" s="3" t="s">
        <v>60</v>
      </c>
    </row>
    <row r="9" ht="14.25" customHeight="1">
      <c r="F9" s="1">
        <v>1008.0</v>
      </c>
      <c r="G9" s="1" t="s">
        <v>61</v>
      </c>
      <c r="H9" s="1" t="s">
        <v>62</v>
      </c>
      <c r="I9" s="1" t="s">
        <v>63</v>
      </c>
      <c r="J9" s="1">
        <v>38.0</v>
      </c>
      <c r="K9" s="1" t="s">
        <v>15</v>
      </c>
      <c r="L9" s="1" t="s">
        <v>16</v>
      </c>
      <c r="M9" s="1">
        <v>48000.0</v>
      </c>
      <c r="N9" s="2" t="s">
        <v>64</v>
      </c>
      <c r="O9" s="2" t="s">
        <v>65</v>
      </c>
      <c r="P9" s="3" t="s">
        <v>66</v>
      </c>
    </row>
    <row r="10" ht="14.25" customHeight="1">
      <c r="F10" s="1">
        <v>1009.0</v>
      </c>
      <c r="G10" s="1" t="s">
        <v>67</v>
      </c>
      <c r="H10" s="1" t="s">
        <v>68</v>
      </c>
      <c r="I10" s="1" t="s">
        <v>43</v>
      </c>
      <c r="J10" s="1">
        <v>31.0</v>
      </c>
      <c r="K10" s="1" t="s">
        <v>15</v>
      </c>
      <c r="L10" s="1" t="s">
        <v>39</v>
      </c>
      <c r="M10" s="1">
        <v>42000.0</v>
      </c>
      <c r="N10" s="2" t="s">
        <v>69</v>
      </c>
      <c r="O10" s="2" t="s">
        <v>65</v>
      </c>
      <c r="P10" s="3" t="s">
        <v>70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>
      <c r="I22" s="1" t="str">
        <f t="shared" ref="I22:I23" si="2">CONCATENATE(G12," ",H12)</f>
        <v> </v>
      </c>
    </row>
    <row r="23" ht="14.25" customHeight="1">
      <c r="I23" s="1" t="str">
        <f t="shared" si="2"/>
        <v> 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24.57"/>
    <col customWidth="1" min="3" max="7" width="8.71"/>
    <col customWidth="1" min="8" max="8" width="14.71"/>
    <col customWidth="1" min="9" max="10" width="8.71"/>
    <col customWidth="1" min="11" max="11" width="15.71"/>
    <col customWidth="1" min="12" max="14" width="8.71"/>
    <col customWidth="1" min="15" max="15" width="40.71"/>
    <col customWidth="1" min="16" max="26" width="8.71"/>
  </cols>
  <sheetData>
    <row r="1" ht="14.25" customHeight="1"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</row>
    <row r="2" ht="14.25" customHeight="1">
      <c r="A2" s="1" t="s">
        <v>3</v>
      </c>
      <c r="B2" s="1" t="s">
        <v>11</v>
      </c>
      <c r="E2" s="1">
        <v>1001.0</v>
      </c>
      <c r="F2" s="1" t="s">
        <v>12</v>
      </c>
      <c r="G2" s="1" t="s">
        <v>13</v>
      </c>
      <c r="H2" s="1" t="s">
        <v>14</v>
      </c>
      <c r="I2" s="1">
        <v>30.0</v>
      </c>
      <c r="J2" s="1" t="s">
        <v>15</v>
      </c>
      <c r="K2" s="1" t="s">
        <v>16</v>
      </c>
      <c r="L2" s="1">
        <v>45000.0</v>
      </c>
      <c r="M2" s="2" t="s">
        <v>17</v>
      </c>
      <c r="N2" s="2" t="s">
        <v>18</v>
      </c>
      <c r="O2" s="3" t="s">
        <v>19</v>
      </c>
    </row>
    <row r="3" ht="14.25" customHeight="1">
      <c r="A3" s="1" t="s">
        <v>71</v>
      </c>
      <c r="B3" s="1" t="str">
        <f t="array" ref="B3">XLOOKUP(A3,H2:H10,O2:O10,"Not Found")</f>
        <v>Not Found</v>
      </c>
      <c r="E3" s="1">
        <v>1002.0</v>
      </c>
      <c r="F3" s="1" t="s">
        <v>21</v>
      </c>
      <c r="G3" s="1" t="s">
        <v>22</v>
      </c>
      <c r="H3" s="1" t="s">
        <v>23</v>
      </c>
      <c r="I3" s="1">
        <v>30.0</v>
      </c>
      <c r="J3" s="1" t="s">
        <v>24</v>
      </c>
      <c r="K3" s="1" t="s">
        <v>25</v>
      </c>
      <c r="L3" s="1">
        <v>36000.0</v>
      </c>
      <c r="M3" s="2" t="s">
        <v>26</v>
      </c>
      <c r="N3" s="2" t="s">
        <v>27</v>
      </c>
      <c r="O3" s="3" t="s">
        <v>28</v>
      </c>
    </row>
    <row r="4" ht="14.25" customHeight="1">
      <c r="A4" s="1" t="s">
        <v>22</v>
      </c>
      <c r="B4" s="4" t="str">
        <f t="array" ref="B4">XLOOKUP("*"&amp;A4,H2:H10,O2:O10,"Not Found",2)</f>
        <v>Pam.Beasley@DunderMifflin.com</v>
      </c>
      <c r="E4" s="1">
        <v>1003.0</v>
      </c>
      <c r="F4" s="1" t="s">
        <v>29</v>
      </c>
      <c r="G4" s="1" t="s">
        <v>30</v>
      </c>
      <c r="H4" s="1" t="s">
        <v>31</v>
      </c>
      <c r="I4" s="1">
        <v>29.0</v>
      </c>
      <c r="J4" s="1" t="s">
        <v>15</v>
      </c>
      <c r="K4" s="1" t="s">
        <v>16</v>
      </c>
      <c r="L4" s="1">
        <v>63000.0</v>
      </c>
      <c r="M4" s="2" t="s">
        <v>32</v>
      </c>
      <c r="N4" s="2" t="s">
        <v>33</v>
      </c>
      <c r="O4" s="3" t="s">
        <v>34</v>
      </c>
    </row>
    <row r="5" ht="14.25" customHeight="1">
      <c r="A5" s="1" t="s">
        <v>56</v>
      </c>
      <c r="B5" s="4" t="str">
        <f t="shared" ref="B5:B6" si="1">XLOOKUP(A5&amp;"*",H3:H11,O3:O11,"Not Found",2)</f>
        <v>Meredith.Palmer@Yahoo.com</v>
      </c>
      <c r="E5" s="1">
        <v>1004.0</v>
      </c>
      <c r="F5" s="1" t="s">
        <v>36</v>
      </c>
      <c r="G5" s="1" t="s">
        <v>37</v>
      </c>
      <c r="H5" s="1" t="s">
        <v>38</v>
      </c>
      <c r="I5" s="1">
        <v>31.0</v>
      </c>
      <c r="J5" s="1" t="s">
        <v>24</v>
      </c>
      <c r="K5" s="1" t="s">
        <v>39</v>
      </c>
      <c r="L5" s="1">
        <v>47000.0</v>
      </c>
      <c r="M5" s="2" t="s">
        <v>40</v>
      </c>
      <c r="N5" s="2" t="s">
        <v>41</v>
      </c>
      <c r="O5" s="3" t="s">
        <v>42</v>
      </c>
    </row>
    <row r="6" ht="14.25" customHeight="1">
      <c r="A6" s="1" t="s">
        <v>72</v>
      </c>
      <c r="B6" s="4" t="str">
        <f t="shared" si="1"/>
        <v>Kevin.Malone@DunderMifflin.com</v>
      </c>
      <c r="E6" s="1">
        <v>1005.0</v>
      </c>
      <c r="F6" s="1" t="s">
        <v>44</v>
      </c>
      <c r="G6" s="1" t="s">
        <v>45</v>
      </c>
      <c r="H6" s="1" t="s">
        <v>20</v>
      </c>
      <c r="I6" s="1">
        <v>32.0</v>
      </c>
      <c r="J6" s="1" t="s">
        <v>15</v>
      </c>
      <c r="K6" s="1" t="s">
        <v>46</v>
      </c>
      <c r="L6" s="1">
        <v>50000.0</v>
      </c>
      <c r="M6" s="2" t="s">
        <v>47</v>
      </c>
      <c r="N6" s="2" t="s">
        <v>48</v>
      </c>
      <c r="O6" s="3" t="s">
        <v>49</v>
      </c>
    </row>
    <row r="7" ht="14.25" customHeight="1">
      <c r="E7" s="1">
        <v>1006.0</v>
      </c>
      <c r="F7" s="1" t="s">
        <v>50</v>
      </c>
      <c r="G7" s="1" t="s">
        <v>51</v>
      </c>
      <c r="H7" s="1" t="s">
        <v>52</v>
      </c>
      <c r="I7" s="1">
        <v>35.0</v>
      </c>
      <c r="J7" s="1" t="s">
        <v>15</v>
      </c>
      <c r="K7" s="1" t="s">
        <v>53</v>
      </c>
      <c r="L7" s="1">
        <v>65000.0</v>
      </c>
      <c r="M7" s="2" t="s">
        <v>47</v>
      </c>
      <c r="N7" s="2" t="s">
        <v>54</v>
      </c>
      <c r="O7" s="3" t="s">
        <v>55</v>
      </c>
    </row>
    <row r="8" ht="14.25" customHeight="1">
      <c r="E8" s="1">
        <v>1007.0</v>
      </c>
      <c r="F8" s="1" t="s">
        <v>56</v>
      </c>
      <c r="G8" s="1" t="s">
        <v>57</v>
      </c>
      <c r="H8" s="1" t="s">
        <v>35</v>
      </c>
      <c r="I8" s="1">
        <v>32.0</v>
      </c>
      <c r="J8" s="1" t="s">
        <v>24</v>
      </c>
      <c r="K8" s="1" t="s">
        <v>58</v>
      </c>
      <c r="L8" s="1">
        <v>41000.0</v>
      </c>
      <c r="M8" s="2" t="s">
        <v>59</v>
      </c>
      <c r="N8" s="2" t="s">
        <v>54</v>
      </c>
      <c r="O8" s="3" t="s">
        <v>60</v>
      </c>
    </row>
    <row r="9" ht="14.25" customHeight="1">
      <c r="E9" s="1">
        <v>1008.0</v>
      </c>
      <c r="F9" s="1" t="s">
        <v>61</v>
      </c>
      <c r="G9" s="1" t="s">
        <v>62</v>
      </c>
      <c r="H9" s="1" t="s">
        <v>63</v>
      </c>
      <c r="I9" s="1">
        <v>38.0</v>
      </c>
      <c r="J9" s="1" t="s">
        <v>15</v>
      </c>
      <c r="K9" s="1" t="s">
        <v>16</v>
      </c>
      <c r="L9" s="1">
        <v>48000.0</v>
      </c>
      <c r="M9" s="2" t="s">
        <v>64</v>
      </c>
      <c r="N9" s="2" t="s">
        <v>65</v>
      </c>
      <c r="O9" s="3" t="s">
        <v>66</v>
      </c>
    </row>
    <row r="10" ht="14.25" customHeight="1">
      <c r="E10" s="1">
        <v>1009.0</v>
      </c>
      <c r="F10" s="1" t="s">
        <v>67</v>
      </c>
      <c r="G10" s="1" t="s">
        <v>68</v>
      </c>
      <c r="H10" s="1" t="s">
        <v>43</v>
      </c>
      <c r="I10" s="1">
        <v>31.0</v>
      </c>
      <c r="J10" s="1" t="s">
        <v>15</v>
      </c>
      <c r="K10" s="1" t="s">
        <v>39</v>
      </c>
      <c r="L10" s="1">
        <v>42000.0</v>
      </c>
      <c r="M10" s="2" t="s">
        <v>69</v>
      </c>
      <c r="N10" s="2" t="s">
        <v>65</v>
      </c>
      <c r="O10" s="3" t="s">
        <v>70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>
      <c r="H22" s="1" t="str">
        <f t="shared" ref="H22:H23" si="2">CONCATENATE(F12," ",G12)</f>
        <v> </v>
      </c>
    </row>
    <row r="23" ht="14.25" customHeight="1">
      <c r="H23" s="1" t="str">
        <f t="shared" si="2"/>
        <v> 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71"/>
    <col customWidth="1" min="3" max="3" width="24.57"/>
    <col customWidth="1" min="4" max="8" width="8.71"/>
    <col customWidth="1" min="9" max="9" width="14.71"/>
    <col customWidth="1" min="10" max="11" width="8.71"/>
    <col customWidth="1" min="12" max="12" width="15.71"/>
    <col customWidth="1" min="13" max="15" width="8.71"/>
    <col customWidth="1" min="16" max="16" width="40.71"/>
    <col customWidth="1" min="17" max="26" width="8.71"/>
  </cols>
  <sheetData>
    <row r="1" ht="14.25" customHeight="1"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</row>
    <row r="2" ht="14.25" customHeight="1">
      <c r="A2" s="1" t="s">
        <v>73</v>
      </c>
      <c r="B2" s="1" t="s">
        <v>74</v>
      </c>
      <c r="F2" s="1">
        <v>1001.0</v>
      </c>
      <c r="G2" s="1" t="s">
        <v>12</v>
      </c>
      <c r="H2" s="1" t="s">
        <v>13</v>
      </c>
      <c r="I2" s="1" t="s">
        <v>14</v>
      </c>
      <c r="J2" s="1">
        <v>30.0</v>
      </c>
      <c r="K2" s="1" t="s">
        <v>15</v>
      </c>
      <c r="L2" s="1" t="s">
        <v>16</v>
      </c>
      <c r="M2" s="1">
        <v>45000.0</v>
      </c>
      <c r="N2" s="2" t="s">
        <v>17</v>
      </c>
      <c r="O2" s="2" t="s">
        <v>18</v>
      </c>
      <c r="P2" s="3" t="s">
        <v>19</v>
      </c>
    </row>
    <row r="3" ht="14.25" customHeight="1">
      <c r="A3" s="2" t="s">
        <v>75</v>
      </c>
      <c r="B3" s="1" t="str">
        <f t="array" ref="B3">XLOOKUP(A3,N2:N10,I2:I10,,1)</f>
        <v>Angela Martin</v>
      </c>
      <c r="F3" s="1">
        <v>1002.0</v>
      </c>
      <c r="G3" s="1" t="s">
        <v>21</v>
      </c>
      <c r="H3" s="1" t="s">
        <v>22</v>
      </c>
      <c r="I3" s="1" t="s">
        <v>23</v>
      </c>
      <c r="J3" s="1">
        <v>30.0</v>
      </c>
      <c r="K3" s="1" t="s">
        <v>24</v>
      </c>
      <c r="L3" s="1" t="s">
        <v>25</v>
      </c>
      <c r="M3" s="1">
        <v>36000.0</v>
      </c>
      <c r="N3" s="2" t="s">
        <v>26</v>
      </c>
      <c r="O3" s="2" t="s">
        <v>27</v>
      </c>
      <c r="P3" s="3" t="s">
        <v>28</v>
      </c>
    </row>
    <row r="4" ht="14.25" customHeight="1">
      <c r="A4" s="2" t="s">
        <v>47</v>
      </c>
      <c r="B4" s="1" t="str">
        <f t="array" ref="B4">XLOOKUP(A4,N2:N10,I2:I10,,,-1)</f>
        <v>Michael Scott</v>
      </c>
      <c r="F4" s="1">
        <v>1003.0</v>
      </c>
      <c r="G4" s="1" t="s">
        <v>29</v>
      </c>
      <c r="H4" s="1" t="s">
        <v>30</v>
      </c>
      <c r="I4" s="1" t="s">
        <v>31</v>
      </c>
      <c r="J4" s="1">
        <v>29.0</v>
      </c>
      <c r="K4" s="1" t="s">
        <v>15</v>
      </c>
      <c r="L4" s="1" t="s">
        <v>16</v>
      </c>
      <c r="M4" s="1">
        <v>63000.0</v>
      </c>
      <c r="N4" s="2" t="s">
        <v>32</v>
      </c>
      <c r="O4" s="2" t="s">
        <v>33</v>
      </c>
      <c r="P4" s="3" t="s">
        <v>34</v>
      </c>
    </row>
    <row r="5" ht="14.25" customHeight="1">
      <c r="F5" s="1">
        <v>1004.0</v>
      </c>
      <c r="G5" s="1" t="s">
        <v>36</v>
      </c>
      <c r="H5" s="1" t="s">
        <v>37</v>
      </c>
      <c r="I5" s="1" t="s">
        <v>38</v>
      </c>
      <c r="J5" s="1">
        <v>31.0</v>
      </c>
      <c r="K5" s="1" t="s">
        <v>24</v>
      </c>
      <c r="L5" s="1" t="s">
        <v>39</v>
      </c>
      <c r="M5" s="1">
        <v>47000.0</v>
      </c>
      <c r="N5" s="2" t="s">
        <v>40</v>
      </c>
      <c r="O5" s="2" t="s">
        <v>41</v>
      </c>
      <c r="P5" s="3" t="s">
        <v>42</v>
      </c>
    </row>
    <row r="6" ht="14.25" customHeight="1">
      <c r="F6" s="1">
        <v>1005.0</v>
      </c>
      <c r="G6" s="1" t="s">
        <v>44</v>
      </c>
      <c r="H6" s="1" t="s">
        <v>45</v>
      </c>
      <c r="I6" s="1" t="s">
        <v>20</v>
      </c>
      <c r="J6" s="1">
        <v>32.0</v>
      </c>
      <c r="K6" s="1" t="s">
        <v>15</v>
      </c>
      <c r="L6" s="1" t="s">
        <v>46</v>
      </c>
      <c r="M6" s="1">
        <v>50000.0</v>
      </c>
      <c r="N6" s="2" t="s">
        <v>47</v>
      </c>
      <c r="O6" s="2" t="s">
        <v>48</v>
      </c>
      <c r="P6" s="3" t="s">
        <v>49</v>
      </c>
    </row>
    <row r="7" ht="14.25" customHeight="1">
      <c r="F7" s="1">
        <v>1006.0</v>
      </c>
      <c r="G7" s="1" t="s">
        <v>50</v>
      </c>
      <c r="H7" s="1" t="s">
        <v>51</v>
      </c>
      <c r="I7" s="1" t="s">
        <v>52</v>
      </c>
      <c r="J7" s="1">
        <v>35.0</v>
      </c>
      <c r="K7" s="1" t="s">
        <v>15</v>
      </c>
      <c r="L7" s="1" t="s">
        <v>53</v>
      </c>
      <c r="M7" s="1">
        <v>65000.0</v>
      </c>
      <c r="N7" s="2" t="s">
        <v>47</v>
      </c>
      <c r="O7" s="2" t="s">
        <v>54</v>
      </c>
      <c r="P7" s="3" t="s">
        <v>55</v>
      </c>
    </row>
    <row r="8" ht="14.25" customHeight="1">
      <c r="F8" s="1">
        <v>1007.0</v>
      </c>
      <c r="G8" s="1" t="s">
        <v>56</v>
      </c>
      <c r="H8" s="1" t="s">
        <v>57</v>
      </c>
      <c r="I8" s="1" t="s">
        <v>35</v>
      </c>
      <c r="J8" s="1">
        <v>32.0</v>
      </c>
      <c r="K8" s="1" t="s">
        <v>24</v>
      </c>
      <c r="L8" s="1" t="s">
        <v>58</v>
      </c>
      <c r="M8" s="1">
        <v>41000.0</v>
      </c>
      <c r="N8" s="2" t="s">
        <v>59</v>
      </c>
      <c r="O8" s="2" t="s">
        <v>54</v>
      </c>
      <c r="P8" s="3" t="s">
        <v>60</v>
      </c>
    </row>
    <row r="9" ht="14.25" customHeight="1">
      <c r="F9" s="1">
        <v>1008.0</v>
      </c>
      <c r="G9" s="1" t="s">
        <v>61</v>
      </c>
      <c r="H9" s="1" t="s">
        <v>62</v>
      </c>
      <c r="I9" s="1" t="s">
        <v>63</v>
      </c>
      <c r="J9" s="1">
        <v>38.0</v>
      </c>
      <c r="K9" s="1" t="s">
        <v>15</v>
      </c>
      <c r="L9" s="1" t="s">
        <v>16</v>
      </c>
      <c r="M9" s="1">
        <v>48000.0</v>
      </c>
      <c r="N9" s="2" t="s">
        <v>64</v>
      </c>
      <c r="O9" s="2" t="s">
        <v>65</v>
      </c>
      <c r="P9" s="3" t="s">
        <v>66</v>
      </c>
    </row>
    <row r="10" ht="14.25" customHeight="1">
      <c r="F10" s="1">
        <v>1009.0</v>
      </c>
      <c r="G10" s="1" t="s">
        <v>67</v>
      </c>
      <c r="H10" s="1" t="s">
        <v>68</v>
      </c>
      <c r="I10" s="1" t="s">
        <v>43</v>
      </c>
      <c r="J10" s="1">
        <v>31.0</v>
      </c>
      <c r="K10" s="1" t="s">
        <v>15</v>
      </c>
      <c r="L10" s="1" t="s">
        <v>39</v>
      </c>
      <c r="M10" s="1">
        <v>42000.0</v>
      </c>
      <c r="N10" s="2" t="s">
        <v>69</v>
      </c>
      <c r="O10" s="2" t="s">
        <v>65</v>
      </c>
      <c r="P10" s="3" t="s">
        <v>70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>
      <c r="I22" s="1" t="str">
        <f t="shared" ref="I22:I23" si="1">CONCATENATE(G12," ",H12)</f>
        <v> </v>
      </c>
    </row>
    <row r="23" ht="14.25" customHeight="1">
      <c r="I23" s="1" t="str">
        <f t="shared" si="1"/>
        <v> 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14"/>
    <col customWidth="1" min="7" max="7" width="12.14"/>
    <col customWidth="1" min="8" max="26" width="10.14"/>
  </cols>
  <sheetData>
    <row r="1" ht="14.25" customHeight="1">
      <c r="B1" s="1" t="s">
        <v>76</v>
      </c>
      <c r="H1" s="1" t="s">
        <v>77</v>
      </c>
      <c r="I1" s="1" t="s">
        <v>76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</row>
    <row r="2" ht="14.25" customHeight="1">
      <c r="A2" s="1" t="s">
        <v>88</v>
      </c>
      <c r="B2" s="1">
        <f t="shared" ref="B2:B4" si="1">XLOOKUP(I1,H1:S1,H2:S2)</f>
        <v>310</v>
      </c>
      <c r="G2" s="1" t="s">
        <v>88</v>
      </c>
      <c r="H2" s="1">
        <v>450.0</v>
      </c>
      <c r="I2" s="1">
        <v>310.0</v>
      </c>
      <c r="J2" s="1">
        <v>150.0</v>
      </c>
      <c r="K2" s="1">
        <v>750.0</v>
      </c>
      <c r="L2" s="1">
        <v>440.0</v>
      </c>
      <c r="M2" s="1">
        <v>485.0</v>
      </c>
      <c r="N2" s="1">
        <v>510.0</v>
      </c>
      <c r="O2" s="1">
        <v>347.0</v>
      </c>
      <c r="P2" s="1">
        <v>736.0</v>
      </c>
      <c r="Q2" s="1">
        <v>155.0</v>
      </c>
      <c r="R2" s="1">
        <v>450.0</v>
      </c>
      <c r="S2" s="1">
        <v>288.0</v>
      </c>
    </row>
    <row r="3" ht="14.25" customHeight="1">
      <c r="A3" s="1" t="s">
        <v>89</v>
      </c>
      <c r="B3" s="1">
        <f t="shared" si="1"/>
        <v>40</v>
      </c>
      <c r="G3" s="1" t="s">
        <v>89</v>
      </c>
      <c r="H3" s="1">
        <v>75.0</v>
      </c>
      <c r="I3" s="1">
        <v>40.0</v>
      </c>
      <c r="J3" s="1">
        <v>65.0</v>
      </c>
      <c r="K3" s="1">
        <v>50.0</v>
      </c>
      <c r="L3" s="1">
        <v>24.0</v>
      </c>
      <c r="M3" s="1">
        <v>71.0</v>
      </c>
      <c r="N3" s="1">
        <v>57.0</v>
      </c>
      <c r="O3" s="1">
        <v>61.0</v>
      </c>
      <c r="P3" s="1">
        <v>34.0</v>
      </c>
      <c r="Q3" s="1">
        <v>41.0</v>
      </c>
      <c r="R3" s="1">
        <v>58.0</v>
      </c>
      <c r="S3" s="1">
        <v>91.0</v>
      </c>
    </row>
    <row r="4" ht="14.25" customHeight="1">
      <c r="A4" s="1" t="s">
        <v>90</v>
      </c>
      <c r="B4" s="1">
        <f t="shared" si="1"/>
        <v>118</v>
      </c>
      <c r="G4" s="1" t="s">
        <v>90</v>
      </c>
      <c r="H4" s="1">
        <v>200.0</v>
      </c>
      <c r="I4" s="1">
        <v>118.0</v>
      </c>
      <c r="J4" s="1">
        <v>145.0</v>
      </c>
      <c r="K4" s="1">
        <v>210.0</v>
      </c>
      <c r="L4" s="1">
        <v>45.0</v>
      </c>
      <c r="M4" s="1">
        <v>170.0</v>
      </c>
      <c r="N4" s="1">
        <v>130.0</v>
      </c>
      <c r="O4" s="1">
        <v>90.0</v>
      </c>
      <c r="P4" s="1">
        <v>55.0</v>
      </c>
      <c r="Q4" s="1">
        <v>110.0</v>
      </c>
      <c r="R4" s="1">
        <v>130.0</v>
      </c>
      <c r="S4" s="1">
        <v>180.0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14"/>
    <col customWidth="1" min="7" max="7" width="12.14"/>
    <col customWidth="1" min="8" max="26" width="10.14"/>
  </cols>
  <sheetData>
    <row r="1" ht="14.25" customHeight="1">
      <c r="B1" s="1" t="s">
        <v>76</v>
      </c>
      <c r="H1" s="1" t="s">
        <v>77</v>
      </c>
      <c r="I1" s="1" t="s">
        <v>76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</row>
    <row r="2" ht="14.25" customHeight="1">
      <c r="A2" s="1" t="s">
        <v>88</v>
      </c>
      <c r="B2" s="1">
        <f t="shared" ref="B2:B4" si="1">XLOOKUP(I1,H1:S1,H2:S2)</f>
        <v>310</v>
      </c>
      <c r="G2" s="1" t="s">
        <v>88</v>
      </c>
      <c r="H2" s="1">
        <v>450.0</v>
      </c>
      <c r="I2" s="1">
        <v>310.0</v>
      </c>
      <c r="J2" s="1">
        <v>150.0</v>
      </c>
      <c r="K2" s="1">
        <v>750.0</v>
      </c>
      <c r="L2" s="1">
        <v>440.0</v>
      </c>
      <c r="M2" s="1">
        <v>485.0</v>
      </c>
      <c r="N2" s="1">
        <v>510.0</v>
      </c>
      <c r="O2" s="1">
        <v>347.0</v>
      </c>
      <c r="P2" s="1">
        <v>736.0</v>
      </c>
      <c r="Q2" s="1">
        <v>155.0</v>
      </c>
      <c r="R2" s="1">
        <v>450.0</v>
      </c>
      <c r="S2" s="1">
        <v>288.0</v>
      </c>
    </row>
    <row r="3" ht="14.25" customHeight="1">
      <c r="A3" s="1" t="s">
        <v>89</v>
      </c>
      <c r="B3" s="1">
        <f t="shared" si="1"/>
        <v>40</v>
      </c>
      <c r="G3" s="1" t="s">
        <v>89</v>
      </c>
      <c r="H3" s="1">
        <v>75.0</v>
      </c>
      <c r="I3" s="1">
        <v>40.0</v>
      </c>
      <c r="J3" s="1">
        <v>65.0</v>
      </c>
      <c r="K3" s="1">
        <v>50.0</v>
      </c>
      <c r="L3" s="1">
        <v>24.0</v>
      </c>
      <c r="M3" s="1">
        <v>71.0</v>
      </c>
      <c r="N3" s="1">
        <v>57.0</v>
      </c>
      <c r="O3" s="1">
        <v>61.0</v>
      </c>
      <c r="P3" s="1">
        <v>34.0</v>
      </c>
      <c r="Q3" s="1">
        <v>41.0</v>
      </c>
      <c r="R3" s="1">
        <v>58.0</v>
      </c>
      <c r="S3" s="1">
        <v>91.0</v>
      </c>
    </row>
    <row r="4" ht="14.25" customHeight="1">
      <c r="A4" s="1" t="s">
        <v>90</v>
      </c>
      <c r="B4" s="1">
        <f t="shared" si="1"/>
        <v>118</v>
      </c>
      <c r="G4" s="1" t="s">
        <v>90</v>
      </c>
      <c r="H4" s="1">
        <v>200.0</v>
      </c>
      <c r="I4" s="1">
        <v>118.0</v>
      </c>
      <c r="J4" s="1">
        <v>145.0</v>
      </c>
      <c r="K4" s="1">
        <v>210.0</v>
      </c>
      <c r="L4" s="1">
        <v>45.0</v>
      </c>
      <c r="M4" s="1">
        <v>170.0</v>
      </c>
      <c r="N4" s="1">
        <v>130.0</v>
      </c>
      <c r="O4" s="1">
        <v>90.0</v>
      </c>
      <c r="P4" s="1">
        <v>55.0</v>
      </c>
      <c r="Q4" s="1">
        <v>110.0</v>
      </c>
      <c r="R4" s="1">
        <v>130.0</v>
      </c>
      <c r="S4" s="1">
        <v>180.0</v>
      </c>
    </row>
    <row r="5" ht="14.25" customHeight="1"/>
    <row r="6" ht="14.25" customHeight="1">
      <c r="B6" s="1" t="s">
        <v>91</v>
      </c>
    </row>
    <row r="7" ht="14.25" customHeight="1">
      <c r="A7" s="1" t="s">
        <v>88</v>
      </c>
      <c r="B7" s="1">
        <f t="array" ref="B7">SUM(XLOOKUP(I1,H1:S1,H2:S2):XLOOKUP(J1,H1:S1,H2:S2))</f>
        <v>460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6" width="8.71"/>
  </cols>
  <sheetData>
    <row r="1" ht="14.25" customHeight="1"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6</v>
      </c>
      <c r="K1" s="1" t="s">
        <v>5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</row>
    <row r="2" ht="14.25" customHeight="1">
      <c r="A2" s="1" t="s">
        <v>3</v>
      </c>
      <c r="B2" s="1" t="s">
        <v>11</v>
      </c>
      <c r="E2" s="1">
        <v>1001.0</v>
      </c>
      <c r="F2" s="1" t="s">
        <v>12</v>
      </c>
      <c r="G2" s="1" t="s">
        <v>13</v>
      </c>
      <c r="H2" s="1" t="s">
        <v>14</v>
      </c>
      <c r="I2" s="1">
        <v>30.0</v>
      </c>
      <c r="J2" s="1" t="s">
        <v>15</v>
      </c>
      <c r="L2" s="1" t="s">
        <v>16</v>
      </c>
      <c r="M2" s="1">
        <v>45000.0</v>
      </c>
      <c r="N2" s="2" t="s">
        <v>17</v>
      </c>
      <c r="O2" s="2" t="s">
        <v>18</v>
      </c>
      <c r="P2" s="3" t="s">
        <v>19</v>
      </c>
    </row>
    <row r="3" ht="14.25" customHeight="1">
      <c r="A3" s="1" t="s">
        <v>31</v>
      </c>
      <c r="B3" s="4" t="str">
        <f t="shared" ref="B3:B5" si="1">VLOOKUP(A3,H2:P10,9,FALSE)</f>
        <v>Dwight.Schrute@AOL.com</v>
      </c>
      <c r="E3" s="1">
        <v>1002.0</v>
      </c>
      <c r="F3" s="1" t="s">
        <v>21</v>
      </c>
      <c r="G3" s="1" t="s">
        <v>22</v>
      </c>
      <c r="H3" s="1" t="s">
        <v>23</v>
      </c>
      <c r="I3" s="1">
        <v>30.0</v>
      </c>
      <c r="J3" s="1" t="s">
        <v>24</v>
      </c>
      <c r="L3" s="1" t="s">
        <v>25</v>
      </c>
      <c r="M3" s="1">
        <v>36000.0</v>
      </c>
      <c r="N3" s="2" t="s">
        <v>26</v>
      </c>
      <c r="O3" s="2" t="s">
        <v>27</v>
      </c>
      <c r="P3" s="3" t="s">
        <v>28</v>
      </c>
    </row>
    <row r="4" ht="14.25" customHeight="1">
      <c r="A4" s="1" t="s">
        <v>52</v>
      </c>
      <c r="B4" s="4" t="str">
        <f t="shared" si="1"/>
        <v>Michael.Scott@DunderMifflin.com</v>
      </c>
      <c r="E4" s="1">
        <v>1003.0</v>
      </c>
      <c r="F4" s="1" t="s">
        <v>29</v>
      </c>
      <c r="G4" s="1" t="s">
        <v>30</v>
      </c>
      <c r="H4" s="1" t="s">
        <v>31</v>
      </c>
      <c r="I4" s="1">
        <v>29.0</v>
      </c>
      <c r="J4" s="1" t="s">
        <v>15</v>
      </c>
      <c r="L4" s="1" t="s">
        <v>16</v>
      </c>
      <c r="M4" s="1">
        <v>63000.0</v>
      </c>
      <c r="N4" s="2" t="s">
        <v>32</v>
      </c>
      <c r="O4" s="2" t="s">
        <v>33</v>
      </c>
      <c r="P4" s="3" t="s">
        <v>34</v>
      </c>
    </row>
    <row r="5" ht="14.25" customHeight="1">
      <c r="A5" s="1" t="s">
        <v>63</v>
      </c>
      <c r="B5" s="4" t="str">
        <f t="shared" si="1"/>
        <v>Stanley.Hudson@gmail.com</v>
      </c>
      <c r="E5" s="1">
        <v>1004.0</v>
      </c>
      <c r="F5" s="1" t="s">
        <v>36</v>
      </c>
      <c r="G5" s="1" t="s">
        <v>37</v>
      </c>
      <c r="H5" s="1" t="s">
        <v>38</v>
      </c>
      <c r="I5" s="1">
        <v>31.0</v>
      </c>
      <c r="J5" s="1" t="s">
        <v>24</v>
      </c>
      <c r="L5" s="1" t="s">
        <v>39</v>
      </c>
      <c r="M5" s="1">
        <v>47000.0</v>
      </c>
      <c r="N5" s="2" t="s">
        <v>40</v>
      </c>
      <c r="O5" s="2" t="s">
        <v>41</v>
      </c>
      <c r="P5" s="3" t="s">
        <v>42</v>
      </c>
    </row>
    <row r="6" ht="14.25" customHeight="1">
      <c r="E6" s="1">
        <v>1005.0</v>
      </c>
      <c r="F6" s="1" t="s">
        <v>44</v>
      </c>
      <c r="G6" s="1" t="s">
        <v>45</v>
      </c>
      <c r="H6" s="1" t="s">
        <v>20</v>
      </c>
      <c r="I6" s="1">
        <v>32.0</v>
      </c>
      <c r="J6" s="1" t="s">
        <v>15</v>
      </c>
      <c r="L6" s="1" t="s">
        <v>46</v>
      </c>
      <c r="M6" s="1">
        <v>50000.0</v>
      </c>
      <c r="N6" s="2" t="s">
        <v>47</v>
      </c>
      <c r="O6" s="2" t="s">
        <v>48</v>
      </c>
      <c r="P6" s="3" t="s">
        <v>49</v>
      </c>
    </row>
    <row r="7" ht="14.25" customHeight="1">
      <c r="E7" s="1">
        <v>1006.0</v>
      </c>
      <c r="F7" s="1" t="s">
        <v>50</v>
      </c>
      <c r="G7" s="1" t="s">
        <v>51</v>
      </c>
      <c r="H7" s="1" t="s">
        <v>52</v>
      </c>
      <c r="I7" s="1">
        <v>35.0</v>
      </c>
      <c r="J7" s="1" t="s">
        <v>15</v>
      </c>
      <c r="L7" s="1" t="s">
        <v>53</v>
      </c>
      <c r="M7" s="1">
        <v>65000.0</v>
      </c>
      <c r="N7" s="2" t="s">
        <v>47</v>
      </c>
      <c r="O7" s="2" t="s">
        <v>54</v>
      </c>
      <c r="P7" s="3" t="s">
        <v>55</v>
      </c>
    </row>
    <row r="8" ht="14.25" customHeight="1">
      <c r="E8" s="1">
        <v>1007.0</v>
      </c>
      <c r="F8" s="1" t="s">
        <v>56</v>
      </c>
      <c r="G8" s="1" t="s">
        <v>57</v>
      </c>
      <c r="H8" s="1" t="s">
        <v>35</v>
      </c>
      <c r="I8" s="1">
        <v>32.0</v>
      </c>
      <c r="J8" s="1" t="s">
        <v>24</v>
      </c>
      <c r="L8" s="1" t="s">
        <v>58</v>
      </c>
      <c r="M8" s="1">
        <v>41000.0</v>
      </c>
      <c r="N8" s="2" t="s">
        <v>59</v>
      </c>
      <c r="O8" s="2" t="s">
        <v>54</v>
      </c>
      <c r="P8" s="3" t="s">
        <v>60</v>
      </c>
    </row>
    <row r="9" ht="14.25" customHeight="1">
      <c r="E9" s="1">
        <v>1008.0</v>
      </c>
      <c r="F9" s="1" t="s">
        <v>61</v>
      </c>
      <c r="G9" s="1" t="s">
        <v>62</v>
      </c>
      <c r="H9" s="1" t="s">
        <v>63</v>
      </c>
      <c r="I9" s="1">
        <v>38.0</v>
      </c>
      <c r="J9" s="1" t="s">
        <v>15</v>
      </c>
      <c r="L9" s="1" t="s">
        <v>16</v>
      </c>
      <c r="M9" s="1">
        <v>48000.0</v>
      </c>
      <c r="N9" s="2" t="s">
        <v>64</v>
      </c>
      <c r="O9" s="2" t="s">
        <v>65</v>
      </c>
      <c r="P9" s="3" t="s">
        <v>66</v>
      </c>
    </row>
    <row r="10" ht="14.25" customHeight="1">
      <c r="E10" s="1">
        <v>1009.0</v>
      </c>
      <c r="F10" s="1" t="s">
        <v>67</v>
      </c>
      <c r="G10" s="1" t="s">
        <v>68</v>
      </c>
      <c r="H10" s="1" t="s">
        <v>43</v>
      </c>
      <c r="I10" s="1">
        <v>31.0</v>
      </c>
      <c r="J10" s="1" t="s">
        <v>15</v>
      </c>
      <c r="L10" s="1" t="s">
        <v>39</v>
      </c>
      <c r="M10" s="1">
        <v>42000.0</v>
      </c>
      <c r="N10" s="2" t="s">
        <v>69</v>
      </c>
      <c r="O10" s="2" t="s">
        <v>65</v>
      </c>
      <c r="P10" s="3" t="s">
        <v>70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